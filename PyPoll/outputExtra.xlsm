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eterbloomsburgh/Documents/Boot camp HW/HW3_Python/homework/PyPoll/"/>
    </mc:Choice>
  </mc:AlternateContent>
  <xr:revisionPtr revIDLastSave="0" documentId="13_ncr:1_{D76F0963-7891-A44C-8E6E-F12DD1674528}" xr6:coauthVersionLast="43" xr6:coauthVersionMax="43" xr10:uidLastSave="{00000000-0000-0000-0000-000000000000}"/>
  <bookViews>
    <workbookView xWindow="120" yWindow="460" windowWidth="20240" windowHeight="11840" activeTab="3" xr2:uid="{00000000-000D-0000-FFFF-FFFF00000000}"/>
  </bookViews>
  <sheets>
    <sheet name="data" sheetId="1" r:id="rId1"/>
    <sheet name="Table-Bar" sheetId="2" r:id="rId2"/>
    <sheet name="Sheet3" sheetId="6" r:id="rId3"/>
    <sheet name="Pie" sheetId="5" r:id="rId4"/>
  </sheets>
  <calcPr calcId="191029"/>
  <pivotCaches>
    <pivotCache cacheId="9" r:id="rId5"/>
    <pivotCache cacheId="11" r:id="rId6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21" i="1" l="1"/>
  <c r="E21" i="1"/>
  <c r="D21" i="1"/>
  <c r="F20" i="1"/>
  <c r="E20" i="1"/>
  <c r="D20" i="1"/>
  <c r="F19" i="1"/>
  <c r="E19" i="1"/>
  <c r="D19" i="1"/>
  <c r="F18" i="1"/>
  <c r="E18" i="1"/>
  <c r="D18" i="1"/>
  <c r="F17" i="1"/>
  <c r="E17" i="1"/>
  <c r="D17" i="1"/>
  <c r="F16" i="1"/>
  <c r="E16" i="1"/>
  <c r="D16" i="1"/>
  <c r="F15" i="1"/>
  <c r="E15" i="1"/>
  <c r="D15" i="1"/>
  <c r="F14" i="1"/>
  <c r="E14" i="1"/>
  <c r="D14" i="1"/>
  <c r="F13" i="1"/>
  <c r="E13" i="1"/>
  <c r="D13" i="1"/>
  <c r="F12" i="1"/>
  <c r="E12" i="1"/>
  <c r="D12" i="1"/>
  <c r="F11" i="1"/>
  <c r="E11" i="1"/>
  <c r="D11" i="1"/>
  <c r="F10" i="1"/>
  <c r="E10" i="1"/>
  <c r="D10" i="1"/>
  <c r="F9" i="1"/>
  <c r="E9" i="1"/>
  <c r="D9" i="1"/>
  <c r="F8" i="1"/>
  <c r="E8" i="1"/>
  <c r="D8" i="1"/>
  <c r="F7" i="1"/>
  <c r="E7" i="1"/>
  <c r="D7" i="1"/>
  <c r="F6" i="1"/>
  <c r="E6" i="1"/>
  <c r="D6" i="1"/>
  <c r="F5" i="1"/>
  <c r="E5" i="1"/>
  <c r="D5" i="1"/>
  <c r="F4" i="1"/>
  <c r="E4" i="1"/>
  <c r="D4" i="1"/>
  <c r="F3" i="1"/>
  <c r="E3" i="1"/>
  <c r="D3" i="1"/>
  <c r="F2" i="1"/>
  <c r="E2" i="1"/>
  <c r="D2" i="1"/>
</calcChain>
</file>

<file path=xl/sharedStrings.xml><?xml version="1.0" encoding="utf-8"?>
<sst xmlns="http://schemas.openxmlformats.org/spreadsheetml/2006/main" count="69" uniqueCount="20">
  <si>
    <t>candidate</t>
  </si>
  <si>
    <t>county</t>
  </si>
  <si>
    <t>votes</t>
  </si>
  <si>
    <t>Khan</t>
  </si>
  <si>
    <t>Marsh</t>
  </si>
  <si>
    <t>Correy</t>
  </si>
  <si>
    <t>Queen</t>
  </si>
  <si>
    <t>Li</t>
  </si>
  <si>
    <t>Bamoo</t>
  </si>
  <si>
    <t>Trandee</t>
  </si>
  <si>
    <t>Raffah</t>
  </si>
  <si>
    <t>O'Tooley</t>
  </si>
  <si>
    <t>Cand</t>
  </si>
  <si>
    <t>Cty</t>
  </si>
  <si>
    <t>Vote</t>
  </si>
  <si>
    <t>Column Labels</t>
  </si>
  <si>
    <t>Grand Total</t>
  </si>
  <si>
    <t>Row Labels</t>
  </si>
  <si>
    <t>Sum of Vote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</si>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</sst>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[outputExtra.xlsm]Table-Bar!PivotTable8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'Table-Bar'!$B$3:$B$4</c:f>
              <c:strCache>
                <c:ptCount val="1"/>
                <c:pt idx="0">
                  <c:v>Correy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'Table-Bar'!$A$5:$A$10</c:f>
              <c:strCache>
                <c:ptCount val="5"/>
                <c:pt idx="0">
                  <c:v>Bamoo</c:v>
                </c:pt>
                <c:pt idx="1">
                  <c:v>Marsh</c:v>
                </c:pt>
                <c:pt idx="2">
                  <c:v>Queen</c:v>
                </c:pt>
                <c:pt idx="3">
                  <c:v>Raffah</c:v>
                </c:pt>
                <c:pt idx="4">
                  <c:v>Trandee</c:v>
                </c:pt>
              </c:strCache>
            </c:strRef>
          </c:cat>
          <c:val>
            <c:numRef>
              <c:f>'Table-Bar'!$B$5:$B$10</c:f>
              <c:numCache>
                <c:formatCode>General</c:formatCode>
                <c:ptCount val="5"/>
                <c:pt idx="0">
                  <c:v>69752</c:v>
                </c:pt>
                <c:pt idx="1">
                  <c:v>453015</c:v>
                </c:pt>
                <c:pt idx="2">
                  <c:v>139554</c:v>
                </c:pt>
                <c:pt idx="3">
                  <c:v>21055</c:v>
                </c:pt>
                <c:pt idx="4">
                  <c:v>20824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75-9A42-8882-3FCDA94A5EC5}"/>
            </c:ext>
          </c:extLst>
        </c:ser>
        <c:ser>
          <c:idx val="1"/>
          <c:order val="1"/>
          <c:tx>
            <c:strRef>
              <c:f>'Table-Bar'!$C$3:$C$4</c:f>
              <c:strCache>
                <c:ptCount val="1"/>
                <c:pt idx="0">
                  <c:v>Khan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'Table-Bar'!$A$5:$A$10</c:f>
              <c:strCache>
                <c:ptCount val="5"/>
                <c:pt idx="0">
                  <c:v>Bamoo</c:v>
                </c:pt>
                <c:pt idx="1">
                  <c:v>Marsh</c:v>
                </c:pt>
                <c:pt idx="2">
                  <c:v>Queen</c:v>
                </c:pt>
                <c:pt idx="3">
                  <c:v>Raffah</c:v>
                </c:pt>
                <c:pt idx="4">
                  <c:v>Trandee</c:v>
                </c:pt>
              </c:strCache>
            </c:strRef>
          </c:cat>
          <c:val>
            <c:numRef>
              <c:f>'Table-Bar'!$C$5:$C$10</c:f>
              <c:numCache>
                <c:formatCode>General</c:formatCode>
                <c:ptCount val="5"/>
                <c:pt idx="0">
                  <c:v>219834</c:v>
                </c:pt>
                <c:pt idx="1">
                  <c:v>1427142</c:v>
                </c:pt>
                <c:pt idx="2">
                  <c:v>439494</c:v>
                </c:pt>
                <c:pt idx="3">
                  <c:v>65822</c:v>
                </c:pt>
                <c:pt idx="4">
                  <c:v>65939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2E-CC45-8D4A-20CC1FFF0B11}"/>
            </c:ext>
          </c:extLst>
        </c:ser>
        <c:ser>
          <c:idx val="2"/>
          <c:order val="2"/>
          <c:tx>
            <c:strRef>
              <c:f>'Table-Bar'!$D$3:$D$4</c:f>
              <c:strCache>
                <c:ptCount val="1"/>
                <c:pt idx="0">
                  <c:v>Li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'Table-Bar'!$A$5:$A$10</c:f>
              <c:strCache>
                <c:ptCount val="5"/>
                <c:pt idx="0">
                  <c:v>Bamoo</c:v>
                </c:pt>
                <c:pt idx="1">
                  <c:v>Marsh</c:v>
                </c:pt>
                <c:pt idx="2">
                  <c:v>Queen</c:v>
                </c:pt>
                <c:pt idx="3">
                  <c:v>Raffah</c:v>
                </c:pt>
                <c:pt idx="4">
                  <c:v>Trandee</c:v>
                </c:pt>
              </c:strCache>
            </c:strRef>
          </c:cat>
          <c:val>
            <c:numRef>
              <c:f>'Table-Bar'!$D$5:$D$10</c:f>
              <c:numCache>
                <c:formatCode>General</c:formatCode>
                <c:ptCount val="5"/>
                <c:pt idx="0">
                  <c:v>48639</c:v>
                </c:pt>
                <c:pt idx="1">
                  <c:v>317651</c:v>
                </c:pt>
                <c:pt idx="2">
                  <c:v>97305</c:v>
                </c:pt>
                <c:pt idx="3">
                  <c:v>14604</c:v>
                </c:pt>
                <c:pt idx="4">
                  <c:v>14741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2E-CC45-8D4A-20CC1FFF0B11}"/>
            </c:ext>
          </c:extLst>
        </c:ser>
        <c:ser>
          <c:idx val="3"/>
          <c:order val="3"/>
          <c:tx>
            <c:strRef>
              <c:f>'Table-Bar'!$E$3:$E$4</c:f>
              <c:strCache>
                <c:ptCount val="1"/>
                <c:pt idx="0">
                  <c:v>O'Tooley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'Table-Bar'!$A$5:$A$10</c:f>
              <c:strCache>
                <c:ptCount val="5"/>
                <c:pt idx="0">
                  <c:v>Bamoo</c:v>
                </c:pt>
                <c:pt idx="1">
                  <c:v>Marsh</c:v>
                </c:pt>
                <c:pt idx="2">
                  <c:v>Queen</c:v>
                </c:pt>
                <c:pt idx="3">
                  <c:v>Raffah</c:v>
                </c:pt>
                <c:pt idx="4">
                  <c:v>Trandee</c:v>
                </c:pt>
              </c:strCache>
            </c:strRef>
          </c:cat>
          <c:val>
            <c:numRef>
              <c:f>'Table-Bar'!$E$5:$E$10</c:f>
              <c:numCache>
                <c:formatCode>General</c:formatCode>
                <c:ptCount val="5"/>
                <c:pt idx="0">
                  <c:v>10433</c:v>
                </c:pt>
                <c:pt idx="1">
                  <c:v>68149</c:v>
                </c:pt>
                <c:pt idx="2">
                  <c:v>20850</c:v>
                </c:pt>
                <c:pt idx="3">
                  <c:v>3085</c:v>
                </c:pt>
                <c:pt idx="4">
                  <c:v>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2E-CC45-8D4A-20CC1FFF0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8187648"/>
        <c:axId val="1566344128"/>
      </c:barChart>
      <c:catAx>
        <c:axId val="156818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6344128"/>
        <c:crosses val="autoZero"/>
        <c:auto val="1"/>
        <c:lblAlgn val="ctr"/>
        <c:lblOffset val="100"/>
        <c:noMultiLvlLbl val="0"/>
      </c:catAx>
      <c:valAx>
        <c:axId val="156634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1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[outputExtra.xlsm]Pie!PivotTable1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Pie!$B$3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Pie!$A$4:$A$8</c:f>
              <c:strCache>
                <c:ptCount val="4"/>
                <c:pt idx="0">
                  <c:v>Correy</c:v>
                </c:pt>
                <c:pt idx="1">
                  <c:v>Khan</c:v>
                </c:pt>
                <c:pt idx="2">
                  <c:v>Li</c:v>
                </c:pt>
                <c:pt idx="3">
                  <c:v>O'Tooley</c:v>
                </c:pt>
              </c:strCache>
            </c:strRef>
          </c:cat>
          <c:val>
            <c:numRef>
              <c:f>Pie!$B$4:$B$8</c:f>
              <c:numCache>
                <c:formatCode>General</c:formatCode>
                <c:ptCount val="4"/>
                <c:pt idx="0">
                  <c:v>704200</c:v>
                </c:pt>
                <c:pt idx="1">
                  <c:v>2218231</c:v>
                </c:pt>
                <c:pt idx="2">
                  <c:v>492940</c:v>
                </c:pt>
                <c:pt idx="3">
                  <c:v>105630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BA-2E46-B6EA-CA5F02F6C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279400</xdr:colOff>
      <xdr:row>2</xdr:row>
      <xdr:rowOff>146050</xdr:rowOff>
    </xdr:from>
    <xdr:to>
      <xdr:col>16</xdr:col>
      <xdr:colOff>25400</xdr:colOff>
      <xdr:row>16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B2A7FD-F1F0-894F-9E87-27C14BAE9A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330200</xdr:colOff>
      <xdr:row>0</xdr:row>
      <xdr:rowOff>88900</xdr:rowOff>
    </xdr:from>
    <xdr:to>
      <xdr:col>9</xdr:col>
      <xdr:colOff>304800</xdr:colOff>
      <xdr:row>22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3B1919-E05E-9E43-9D95-F7AB31FBE7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ter Bloomsburgh" refreshedDate="43624.385042245369" createdVersion="6" refreshedVersion="6" minRefreshableVersion="3" recordCount="20" xr:uid="{9811F701-3809-8D4E-805B-5A8CD1CE5623}">
  <cacheSource type="worksheet">
    <worksheetSource ref="A1:F21" sheet="data"/>
  </cacheSource>
  <cacheFields count="6">
    <cacheField name="candidate" numFmtId="0">
      <sharedItems/>
    </cacheField>
    <cacheField name="county" numFmtId="0">
      <sharedItems/>
    </cacheField>
    <cacheField name="votes" numFmtId="0">
      <sharedItems containsSemiMixedTypes="0" containsString="0" containsNumber="1" containsInteger="1" minValue="3085" maxValue="1427142"/>
    </cacheField>
    <cacheField name="Cand" numFmtId="0">
      <sharedItems count="4">
        <s v="Khan"/>
        <s v="Correy"/>
        <s v="Li"/>
        <s v="O'Tooley"/>
      </sharedItems>
    </cacheField>
    <cacheField name="Cty" numFmtId="0">
      <sharedItems count="5">
        <s v="Marsh"/>
        <s v="Queen"/>
        <s v="Bamoo"/>
        <s v="Trandee"/>
        <s v="Raffah"/>
      </sharedItems>
    </cacheField>
    <cacheField name="Vote" numFmtId="0">
      <sharedItems containsSemiMixedTypes="0" containsString="0" containsNumber="1" containsInteger="1" minValue="3085" maxValue="1427142" count="20">
        <n v="1427142"/>
        <n v="453015"/>
        <n v="439494"/>
        <n v="317651"/>
        <n v="139554"/>
        <n v="69752"/>
        <n v="65939"/>
        <n v="65822"/>
        <n v="10433"/>
        <n v="48639"/>
        <n v="219834"/>
        <n v="20850"/>
        <n v="97305"/>
        <n v="14604"/>
        <n v="21055"/>
        <n v="68149"/>
        <n v="20824"/>
        <n v="14741"/>
        <n v="3113"/>
        <n v="308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ter Bloomsburgh" refreshedDate="43624.400436805554" createdVersion="6" refreshedVersion="6" minRefreshableVersion="3" recordCount="20" xr:uid="{488F59F7-C865-4142-B4BF-8F9E9AA970C1}">
  <cacheSource type="worksheet">
    <worksheetSource ref="A1:C21" sheet="data"/>
  </cacheSource>
  <cacheFields count="3">
    <cacheField name="candidate" numFmtId="0">
      <sharedItems/>
    </cacheField>
    <cacheField name="county" numFmtId="0">
      <sharedItems/>
    </cacheField>
    <cacheField name="votes" numFmtId="0">
      <sharedItems containsSemiMixedTypes="0" containsString="0" containsNumber="1" containsInteger="1" minValue="3085" maxValue="14271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s v="Khan"/>
    <s v="Marsh"/>
    <n v="1427142"/>
    <x v="0"/>
    <x v="0"/>
    <x v="0"/>
  </r>
  <r>
    <s v="Correy"/>
    <s v="Marsh"/>
    <n v="453015"/>
    <x v="1"/>
    <x v="0"/>
    <x v="1"/>
  </r>
  <r>
    <s v="Khan"/>
    <s v="Queen"/>
    <n v="439494"/>
    <x v="0"/>
    <x v="1"/>
    <x v="2"/>
  </r>
  <r>
    <s v="Li"/>
    <s v="Marsh"/>
    <n v="317651"/>
    <x v="2"/>
    <x v="0"/>
    <x v="3"/>
  </r>
  <r>
    <s v="Correy"/>
    <s v="Queen"/>
    <n v="139554"/>
    <x v="1"/>
    <x v="1"/>
    <x v="4"/>
  </r>
  <r>
    <s v="Correy"/>
    <s v="Bamoo"/>
    <n v="69752"/>
    <x v="1"/>
    <x v="2"/>
    <x v="5"/>
  </r>
  <r>
    <s v="Khan"/>
    <s v="Trandee"/>
    <n v="65939"/>
    <x v="0"/>
    <x v="3"/>
    <x v="6"/>
  </r>
  <r>
    <s v="Khan"/>
    <s v="Raffah"/>
    <n v="65822"/>
    <x v="0"/>
    <x v="4"/>
    <x v="7"/>
  </r>
  <r>
    <s v="O'Tooley"/>
    <s v="Bamoo"/>
    <n v="10433"/>
    <x v="3"/>
    <x v="2"/>
    <x v="8"/>
  </r>
  <r>
    <s v="Li"/>
    <s v="Bamoo"/>
    <n v="48639"/>
    <x v="2"/>
    <x v="2"/>
    <x v="9"/>
  </r>
  <r>
    <s v="Khan"/>
    <s v="Bamoo"/>
    <n v="219834"/>
    <x v="0"/>
    <x v="2"/>
    <x v="10"/>
  </r>
  <r>
    <s v="O'Tooley"/>
    <s v="Queen"/>
    <n v="20850"/>
    <x v="3"/>
    <x v="1"/>
    <x v="11"/>
  </r>
  <r>
    <s v="Li"/>
    <s v="Queen"/>
    <n v="97305"/>
    <x v="2"/>
    <x v="1"/>
    <x v="12"/>
  </r>
  <r>
    <s v="Li"/>
    <s v="Raffah"/>
    <n v="14604"/>
    <x v="2"/>
    <x v="4"/>
    <x v="13"/>
  </r>
  <r>
    <s v="Correy"/>
    <s v="Raffah"/>
    <n v="21055"/>
    <x v="1"/>
    <x v="4"/>
    <x v="14"/>
  </r>
  <r>
    <s v="O'Tooley"/>
    <s v="Marsh"/>
    <n v="68149"/>
    <x v="3"/>
    <x v="0"/>
    <x v="15"/>
  </r>
  <r>
    <s v="Correy"/>
    <s v="Trandee"/>
    <n v="20824"/>
    <x v="1"/>
    <x v="3"/>
    <x v="16"/>
  </r>
  <r>
    <s v="Li"/>
    <s v="Trandee"/>
    <n v="14741"/>
    <x v="2"/>
    <x v="3"/>
    <x v="17"/>
  </r>
  <r>
    <s v="O'Tooley"/>
    <s v="Trandee"/>
    <n v="3113"/>
    <x v="3"/>
    <x v="3"/>
    <x v="18"/>
  </r>
  <r>
    <s v="O'Tooley"/>
    <s v="Raffah"/>
    <n v="3085"/>
    <x v="3"/>
    <x v="4"/>
    <x v="1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s v="Khan"/>
    <s v="Marsh"/>
    <n v="1427142"/>
  </r>
  <r>
    <s v="Correy"/>
    <s v="Marsh"/>
    <n v="453015"/>
  </r>
  <r>
    <s v="Khan"/>
    <s v="Queen"/>
    <n v="439494"/>
  </r>
  <r>
    <s v="Li"/>
    <s v="Marsh"/>
    <n v="317651"/>
  </r>
  <r>
    <s v="Correy"/>
    <s v="Queen"/>
    <n v="139554"/>
  </r>
  <r>
    <s v="Correy"/>
    <s v="Bamoo"/>
    <n v="69752"/>
  </r>
  <r>
    <s v="Khan"/>
    <s v="Trandee"/>
    <n v="65939"/>
  </r>
  <r>
    <s v="Khan"/>
    <s v="Raffah"/>
    <n v="65822"/>
  </r>
  <r>
    <s v="O'Tooley"/>
    <s v="Bamoo"/>
    <n v="10433"/>
  </r>
  <r>
    <s v="Li"/>
    <s v="Bamoo"/>
    <n v="48639"/>
  </r>
  <r>
    <s v="Khan"/>
    <s v="Bamoo"/>
    <n v="219834"/>
  </r>
  <r>
    <s v="O'Tooley"/>
    <s v="Queen"/>
    <n v="20850"/>
  </r>
  <r>
    <s v="Li"/>
    <s v="Queen"/>
    <n v="97305"/>
  </r>
  <r>
    <s v="Li"/>
    <s v="Raffah"/>
    <n v="14604"/>
  </r>
  <r>
    <s v="Correy"/>
    <s v="Raffah"/>
    <n v="21055"/>
  </r>
  <r>
    <s v="O'Tooley"/>
    <s v="Marsh"/>
    <n v="68149"/>
  </r>
  <r>
    <s v="Correy"/>
    <s v="Trandee"/>
    <n v="20824"/>
  </r>
  <r>
    <s v="Li"/>
    <s v="Trandee"/>
    <n v="14741"/>
  </r>
  <r>
    <s v="O'Tooley"/>
    <s v="Trandee"/>
    <n v="3113"/>
  </r>
  <r>
    <s v="O'Tooley"/>
    <s v="Raffah"/>
    <n v="308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C53593-F9D2-1D4D-ADBD-AA1431B73F14}" name="PivotTable8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0" firstHeaderRow="1" firstDataRow="2" firstDataCol="1"/>
  <pivotFields count="6"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axis="axisRow" showAll="0">
      <items count="6">
        <item x="2"/>
        <item x="0"/>
        <item x="1"/>
        <item x="4"/>
        <item x="3"/>
        <item t="default"/>
      </items>
    </pivotField>
    <pivotField dataField="1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Sum of Vote" fld="5" baseField="0" baseItem="0"/>
  </dataFields>
  <chartFormats count="2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9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4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0" format="11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0" format="12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4" count="1" selected="0">
            <x v="2"/>
          </reference>
        </references>
      </pivotArea>
    </chartFormat>
    <chartFormat chart="0" format="13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4" count="1" selected="0">
            <x v="3"/>
          </reference>
        </references>
      </pivotArea>
    </chartFormat>
    <chartFormat chart="0" format="14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4" count="1" selected="0">
            <x v="4"/>
          </reference>
        </references>
      </pivotArea>
    </chartFormat>
    <chartFormat chart="0" format="15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0"/>
          </reference>
        </references>
      </pivotArea>
    </chartFormat>
    <chartFormat chart="0" format="16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1"/>
          </reference>
        </references>
      </pivotArea>
    </chartFormat>
    <chartFormat chart="0" format="17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</references>
      </pivotArea>
    </chartFormat>
    <chartFormat chart="0" format="1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3"/>
          </reference>
        </references>
      </pivotArea>
    </chartFormat>
    <chartFormat chart="0" format="19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4"/>
          </reference>
        </references>
      </pivotArea>
    </chartFormat>
    <chartFormat chart="0" format="20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0"/>
          </reference>
        </references>
      </pivotArea>
    </chartFormat>
    <chartFormat chart="0" format="21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1"/>
          </reference>
        </references>
      </pivotArea>
    </chartFormat>
    <chartFormat chart="0" format="22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2"/>
          </reference>
        </references>
      </pivotArea>
    </chartFormat>
    <chartFormat chart="0" format="23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3"/>
          </reference>
        </references>
      </pivotArea>
    </chartFormat>
    <chartFormat chart="0" format="24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4"/>
          </reference>
        </references>
      </pivotArea>
    </chartFormat>
    <chartFormat chart="0" format="25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</references>
      </pivotArea>
    </chartFormat>
    <chartFormat chart="0" format="26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3EA2CE-F905-0546-92A8-8771B6415F34}" name="PivotTable2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C18" firstHeaderRow="1" firstDataRow="1" firstDataCol="0"/>
  <pivotFields count="3"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66F91F-37C9-E246-9100-BA5DB0CE3BB4}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8" firstHeaderRow="1" firstDataRow="1" firstDataCol="1" rowPageCount="1" colPageCount="1"/>
  <pivotFields count="6">
    <pivotField showAll="0"/>
    <pivotField showAll="0"/>
    <pivotField showAll="0"/>
    <pivotField axis="axisRow" showAll="0">
      <items count="5">
        <item x="1"/>
        <item x="0"/>
        <item x="2"/>
        <item x="3"/>
        <item t="default"/>
      </items>
    </pivotField>
    <pivotField axis="axisPage" showAll="0">
      <items count="6">
        <item x="2"/>
        <item x="0"/>
        <item x="1"/>
        <item x="4"/>
        <item x="3"/>
        <item t="default"/>
      </items>
    </pivotField>
    <pivotField dataField="1" showAll="0">
      <items count="21">
        <item x="19"/>
        <item x="18"/>
        <item x="8"/>
        <item x="13"/>
        <item x="17"/>
        <item x="16"/>
        <item x="11"/>
        <item x="14"/>
        <item x="9"/>
        <item x="7"/>
        <item x="6"/>
        <item x="15"/>
        <item x="5"/>
        <item x="12"/>
        <item x="4"/>
        <item x="10"/>
        <item x="3"/>
        <item x="2"/>
        <item x="1"/>
        <item x="0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4" hier="-1"/>
  </pageFields>
  <dataFields count="1">
    <dataField name="Sum of Vote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21"/>
  <sheetViews>
    <sheetView workbookViewId="0">
      <selection activeCell="F2" sqref="F2"/>
    </sheetView>
  </sheetViews>
  <sheetFormatPr baseColWidth="10" defaultRowHeight="16"/>
  <sheetData>
    <row r="1" spans="1:6">
      <c r="A1" t="s">
        <v>0</v>
      </c>
      <c r="B1" t="s">
        <v>1</v>
      </c>
      <c r="C1" t="s">
        <v>2</v>
      </c>
      <c r="D1" t="s">
        <v>12</v>
      </c>
      <c r="E1" t="s">
        <v>13</v>
      </c>
      <c r="F1" t="s">
        <v>14</v>
      </c>
    </row>
    <row r="2" spans="1:6">
      <c r="A2" t="s">
        <v>3</v>
      </c>
      <c r="B2" t="s">
        <v>4</v>
      </c>
      <c r="C2">
        <v>1427142</v>
      </c>
      <c r="D2" t="str">
        <f>A2</f>
        <v>Khan</v>
      </c>
      <c r="E2" t="str">
        <f t="shared" ref="E2:E21" si="0">B2</f>
        <v>Marsh</v>
      </c>
      <c r="F2">
        <f t="shared" ref="F2:F21" si="1">C2</f>
        <v>1427142</v>
      </c>
    </row>
    <row r="3" spans="1:6">
      <c r="A3" t="s">
        <v>5</v>
      </c>
      <c r="B3" t="s">
        <v>4</v>
      </c>
      <c r="C3">
        <v>453015</v>
      </c>
      <c r="D3" t="str">
        <f t="shared" ref="D3:D21" si="2">A3</f>
        <v>Correy</v>
      </c>
      <c r="E3" t="str">
        <f t="shared" si="0"/>
        <v>Marsh</v>
      </c>
      <c r="F3">
        <f t="shared" si="1"/>
        <v>453015</v>
      </c>
    </row>
    <row r="4" spans="1:6">
      <c r="A4" t="s">
        <v>3</v>
      </c>
      <c r="B4" t="s">
        <v>6</v>
      </c>
      <c r="C4">
        <v>439494</v>
      </c>
      <c r="D4" t="str">
        <f t="shared" si="2"/>
        <v>Khan</v>
      </c>
      <c r="E4" t="str">
        <f t="shared" si="0"/>
        <v>Queen</v>
      </c>
      <c r="F4">
        <f t="shared" si="1"/>
        <v>439494</v>
      </c>
    </row>
    <row r="5" spans="1:6">
      <c r="A5" t="s">
        <v>7</v>
      </c>
      <c r="B5" t="s">
        <v>4</v>
      </c>
      <c r="C5">
        <v>317651</v>
      </c>
      <c r="D5" t="str">
        <f t="shared" si="2"/>
        <v>Li</v>
      </c>
      <c r="E5" t="str">
        <f t="shared" si="0"/>
        <v>Marsh</v>
      </c>
      <c r="F5">
        <f t="shared" si="1"/>
        <v>317651</v>
      </c>
    </row>
    <row r="6" spans="1:6">
      <c r="A6" t="s">
        <v>5</v>
      </c>
      <c r="B6" t="s">
        <v>6</v>
      </c>
      <c r="C6">
        <v>139554</v>
      </c>
      <c r="D6" t="str">
        <f t="shared" si="2"/>
        <v>Correy</v>
      </c>
      <c r="E6" t="str">
        <f t="shared" si="0"/>
        <v>Queen</v>
      </c>
      <c r="F6">
        <f t="shared" si="1"/>
        <v>139554</v>
      </c>
    </row>
    <row r="7" spans="1:6">
      <c r="A7" t="s">
        <v>5</v>
      </c>
      <c r="B7" t="s">
        <v>8</v>
      </c>
      <c r="C7">
        <v>69752</v>
      </c>
      <c r="D7" t="str">
        <f t="shared" si="2"/>
        <v>Correy</v>
      </c>
      <c r="E7" t="str">
        <f t="shared" si="0"/>
        <v>Bamoo</v>
      </c>
      <c r="F7">
        <f t="shared" si="1"/>
        <v>69752</v>
      </c>
    </row>
    <row r="8" spans="1:6">
      <c r="A8" t="s">
        <v>3</v>
      </c>
      <c r="B8" t="s">
        <v>9</v>
      </c>
      <c r="C8">
        <v>65939</v>
      </c>
      <c r="D8" t="str">
        <f t="shared" si="2"/>
        <v>Khan</v>
      </c>
      <c r="E8" t="str">
        <f t="shared" si="0"/>
        <v>Trandee</v>
      </c>
      <c r="F8">
        <f t="shared" si="1"/>
        <v>65939</v>
      </c>
    </row>
    <row r="9" spans="1:6">
      <c r="A9" t="s">
        <v>3</v>
      </c>
      <c r="B9" t="s">
        <v>10</v>
      </c>
      <c r="C9">
        <v>65822</v>
      </c>
      <c r="D9" t="str">
        <f t="shared" si="2"/>
        <v>Khan</v>
      </c>
      <c r="E9" t="str">
        <f t="shared" si="0"/>
        <v>Raffah</v>
      </c>
      <c r="F9">
        <f t="shared" si="1"/>
        <v>65822</v>
      </c>
    </row>
    <row r="10" spans="1:6">
      <c r="A10" t="s">
        <v>11</v>
      </c>
      <c r="B10" t="s">
        <v>8</v>
      </c>
      <c r="C10">
        <v>10433</v>
      </c>
      <c r="D10" t="str">
        <f t="shared" si="2"/>
        <v>O'Tooley</v>
      </c>
      <c r="E10" t="str">
        <f t="shared" si="0"/>
        <v>Bamoo</v>
      </c>
      <c r="F10">
        <f t="shared" si="1"/>
        <v>10433</v>
      </c>
    </row>
    <row r="11" spans="1:6">
      <c r="A11" t="s">
        <v>7</v>
      </c>
      <c r="B11" t="s">
        <v>8</v>
      </c>
      <c r="C11">
        <v>48639</v>
      </c>
      <c r="D11" t="str">
        <f t="shared" si="2"/>
        <v>Li</v>
      </c>
      <c r="E11" t="str">
        <f t="shared" si="0"/>
        <v>Bamoo</v>
      </c>
      <c r="F11">
        <f t="shared" si="1"/>
        <v>48639</v>
      </c>
    </row>
    <row r="12" spans="1:6">
      <c r="A12" t="s">
        <v>3</v>
      </c>
      <c r="B12" t="s">
        <v>8</v>
      </c>
      <c r="C12">
        <v>219834</v>
      </c>
      <c r="D12" t="str">
        <f t="shared" si="2"/>
        <v>Khan</v>
      </c>
      <c r="E12" t="str">
        <f t="shared" si="0"/>
        <v>Bamoo</v>
      </c>
      <c r="F12">
        <f t="shared" si="1"/>
        <v>219834</v>
      </c>
    </row>
    <row r="13" spans="1:6">
      <c r="A13" t="s">
        <v>11</v>
      </c>
      <c r="B13" t="s">
        <v>6</v>
      </c>
      <c r="C13">
        <v>20850</v>
      </c>
      <c r="D13" t="str">
        <f t="shared" si="2"/>
        <v>O'Tooley</v>
      </c>
      <c r="E13" t="str">
        <f t="shared" si="0"/>
        <v>Queen</v>
      </c>
      <c r="F13">
        <f t="shared" si="1"/>
        <v>20850</v>
      </c>
    </row>
    <row r="14" spans="1:6">
      <c r="A14" t="s">
        <v>7</v>
      </c>
      <c r="B14" t="s">
        <v>6</v>
      </c>
      <c r="C14">
        <v>97305</v>
      </c>
      <c r="D14" t="str">
        <f t="shared" si="2"/>
        <v>Li</v>
      </c>
      <c r="E14" t="str">
        <f t="shared" si="0"/>
        <v>Queen</v>
      </c>
      <c r="F14">
        <f t="shared" si="1"/>
        <v>97305</v>
      </c>
    </row>
    <row r="15" spans="1:6">
      <c r="A15" t="s">
        <v>7</v>
      </c>
      <c r="B15" t="s">
        <v>10</v>
      </c>
      <c r="C15">
        <v>14604</v>
      </c>
      <c r="D15" t="str">
        <f t="shared" si="2"/>
        <v>Li</v>
      </c>
      <c r="E15" t="str">
        <f t="shared" si="0"/>
        <v>Raffah</v>
      </c>
      <c r="F15">
        <f t="shared" si="1"/>
        <v>14604</v>
      </c>
    </row>
    <row r="16" spans="1:6">
      <c r="A16" t="s">
        <v>5</v>
      </c>
      <c r="B16" t="s">
        <v>10</v>
      </c>
      <c r="C16">
        <v>21055</v>
      </c>
      <c r="D16" t="str">
        <f t="shared" si="2"/>
        <v>Correy</v>
      </c>
      <c r="E16" t="str">
        <f t="shared" si="0"/>
        <v>Raffah</v>
      </c>
      <c r="F16">
        <f t="shared" si="1"/>
        <v>21055</v>
      </c>
    </row>
    <row r="17" spans="1:6">
      <c r="A17" t="s">
        <v>11</v>
      </c>
      <c r="B17" t="s">
        <v>4</v>
      </c>
      <c r="C17">
        <v>68149</v>
      </c>
      <c r="D17" t="str">
        <f t="shared" si="2"/>
        <v>O'Tooley</v>
      </c>
      <c r="E17" t="str">
        <f t="shared" si="0"/>
        <v>Marsh</v>
      </c>
      <c r="F17">
        <f t="shared" si="1"/>
        <v>68149</v>
      </c>
    </row>
    <row r="18" spans="1:6">
      <c r="A18" t="s">
        <v>5</v>
      </c>
      <c r="B18" t="s">
        <v>9</v>
      </c>
      <c r="C18">
        <v>20824</v>
      </c>
      <c r="D18" t="str">
        <f t="shared" si="2"/>
        <v>Correy</v>
      </c>
      <c r="E18" t="str">
        <f t="shared" si="0"/>
        <v>Trandee</v>
      </c>
      <c r="F18">
        <f t="shared" si="1"/>
        <v>20824</v>
      </c>
    </row>
    <row r="19" spans="1:6">
      <c r="A19" t="s">
        <v>7</v>
      </c>
      <c r="B19" t="s">
        <v>9</v>
      </c>
      <c r="C19">
        <v>14741</v>
      </c>
      <c r="D19" t="str">
        <f t="shared" si="2"/>
        <v>Li</v>
      </c>
      <c r="E19" t="str">
        <f t="shared" si="0"/>
        <v>Trandee</v>
      </c>
      <c r="F19">
        <f t="shared" si="1"/>
        <v>14741</v>
      </c>
    </row>
    <row r="20" spans="1:6">
      <c r="A20" t="s">
        <v>11</v>
      </c>
      <c r="B20" t="s">
        <v>9</v>
      </c>
      <c r="C20">
        <v>3113</v>
      </c>
      <c r="D20" t="str">
        <f t="shared" si="2"/>
        <v>O'Tooley</v>
      </c>
      <c r="E20" t="str">
        <f t="shared" si="0"/>
        <v>Trandee</v>
      </c>
      <c r="F20">
        <f t="shared" si="1"/>
        <v>3113</v>
      </c>
    </row>
    <row r="21" spans="1:6">
      <c r="A21" t="s">
        <v>11</v>
      </c>
      <c r="B21" t="s">
        <v>10</v>
      </c>
      <c r="C21">
        <v>3085</v>
      </c>
      <c r="D21" t="str">
        <f t="shared" si="2"/>
        <v>O'Tooley</v>
      </c>
      <c r="E21" t="str">
        <f t="shared" si="0"/>
        <v>Raffah</v>
      </c>
      <c r="F21">
        <f t="shared" si="1"/>
        <v>3085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F10"/>
  <sheetViews>
    <sheetView workbookViewId="0">
      <selection activeCell="E15" sqref="E15"/>
    </sheetView>
  </sheetViews>
  <sheetFormatPr baseColWidth="10" defaultRowHeight="16"/>
  <cols>
    <col min="1" max="1" width="13" bestFit="1" customWidth="1"/>
    <col min="2" max="2" width="15.5" bestFit="1" customWidth="1"/>
    <col min="3" max="3" width="8.1640625" bestFit="1" customWidth="1"/>
    <col min="4" max="4" width="7.1640625" bestFit="1" customWidth="1"/>
    <col min="5" max="5" width="8.5" bestFit="1" customWidth="1"/>
    <col min="6" max="6" width="10.83203125" bestFit="1" customWidth="1"/>
    <col min="7" max="7" width="8.5" bestFit="1" customWidth="1"/>
    <col min="8" max="8" width="8.1640625" bestFit="1" customWidth="1"/>
    <col min="9" max="9" width="7.1640625" bestFit="1" customWidth="1"/>
    <col min="10" max="10" width="8.5" bestFit="1" customWidth="1"/>
    <col min="11" max="11" width="11" bestFit="1" customWidth="1"/>
    <col min="12" max="12" width="8.6640625" bestFit="1" customWidth="1"/>
    <col min="13" max="13" width="7.1640625" bestFit="1" customWidth="1"/>
    <col min="14" max="14" width="6.1640625" bestFit="1" customWidth="1"/>
    <col min="15" max="15" width="8.5" bestFit="1" customWidth="1"/>
    <col min="16" max="16" width="11.1640625" bestFit="1" customWidth="1"/>
    <col min="17" max="17" width="8.83203125" bestFit="1" customWidth="1"/>
    <col min="18" max="19" width="6.1640625" bestFit="1" customWidth="1"/>
    <col min="20" max="20" width="8.5" bestFit="1" customWidth="1"/>
    <col min="21" max="21" width="11.33203125" bestFit="1" customWidth="1"/>
    <col min="22" max="22" width="10" bestFit="1" customWidth="1"/>
    <col min="23" max="24" width="6.1640625" bestFit="1" customWidth="1"/>
    <col min="25" max="25" width="8.5" bestFit="1" customWidth="1"/>
    <col min="26" max="26" width="12.5" bestFit="1" customWidth="1"/>
  </cols>
  <sheetData>
    <row r="3" spans="1:6">
      <c r="A3" s="10" t="s">
        <v>18</v>
      </c>
      <c r="B3" s="10" t="s">
        <v>15</v>
      </c>
    </row>
    <row r="4" spans="1:6">
      <c r="A4" s="10" t="s">
        <v>17</v>
      </c>
      <c r="B4" t="s">
        <v>5</v>
      </c>
      <c r="C4" t="s">
        <v>3</v>
      </c>
      <c r="D4" t="s">
        <v>7</v>
      </c>
      <c r="E4" t="s">
        <v>11</v>
      </c>
      <c r="F4" t="s">
        <v>16</v>
      </c>
    </row>
    <row r="5" spans="1:6">
      <c r="A5" s="11" t="s">
        <v>8</v>
      </c>
      <c r="B5" s="12">
        <v>69752</v>
      </c>
      <c r="C5" s="12">
        <v>219834</v>
      </c>
      <c r="D5" s="12">
        <v>48639</v>
      </c>
      <c r="E5" s="12">
        <v>10433</v>
      </c>
      <c r="F5" s="12">
        <v>348658</v>
      </c>
    </row>
    <row r="6" spans="1:6">
      <c r="A6" s="11" t="s">
        <v>4</v>
      </c>
      <c r="B6" s="12">
        <v>453015</v>
      </c>
      <c r="C6" s="12">
        <v>1427142</v>
      </c>
      <c r="D6" s="12">
        <v>317651</v>
      </c>
      <c r="E6" s="12">
        <v>68149</v>
      </c>
      <c r="F6" s="12">
        <v>2265957</v>
      </c>
    </row>
    <row r="7" spans="1:6">
      <c r="A7" s="11" t="s">
        <v>6</v>
      </c>
      <c r="B7" s="12">
        <v>139554</v>
      </c>
      <c r="C7" s="12">
        <v>439494</v>
      </c>
      <c r="D7" s="12">
        <v>97305</v>
      </c>
      <c r="E7" s="12">
        <v>20850</v>
      </c>
      <c r="F7" s="12">
        <v>697203</v>
      </c>
    </row>
    <row r="8" spans="1:6">
      <c r="A8" s="11" t="s">
        <v>10</v>
      </c>
      <c r="B8" s="12">
        <v>21055</v>
      </c>
      <c r="C8" s="12">
        <v>65822</v>
      </c>
      <c r="D8" s="12">
        <v>14604</v>
      </c>
      <c r="E8" s="12">
        <v>3085</v>
      </c>
      <c r="F8" s="12">
        <v>104566</v>
      </c>
    </row>
    <row r="9" spans="1:6">
      <c r="A9" s="11" t="s">
        <v>9</v>
      </c>
      <c r="B9" s="12">
        <v>20824</v>
      </c>
      <c r="C9" s="12">
        <v>65939</v>
      </c>
      <c r="D9" s="12">
        <v>14741</v>
      </c>
      <c r="E9" s="12">
        <v>3113</v>
      </c>
      <c r="F9" s="12">
        <v>104617</v>
      </c>
    </row>
    <row r="10" spans="1:6">
      <c r="A10" s="11" t="s">
        <v>16</v>
      </c>
      <c r="B10" s="12">
        <v>704200</v>
      </c>
      <c r="C10" s="12">
        <v>2218231</v>
      </c>
      <c r="D10" s="12">
        <v>492940</v>
      </c>
      <c r="E10" s="12">
        <v>105630</v>
      </c>
      <c r="F10" s="12">
        <v>3521001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4428E-3FE3-2B4D-BE43-0EB56737D3A6}">
  <dimension ref="A1:C18"/>
  <sheetViews>
    <sheetView workbookViewId="0">
      <selection activeCell="B6" sqref="B6"/>
    </sheetView>
  </sheetViews>
  <sheetFormatPr baseColWidth="10" defaultRowHeight="16"/>
  <sheetData>
    <row r="1" spans="1:3">
      <c r="A1" s="1"/>
      <c r="B1" s="2"/>
      <c r="C1" s="3"/>
    </row>
    <row r="2" spans="1:3">
      <c r="A2" s="4"/>
      <c r="B2" s="5"/>
      <c r="C2" s="6"/>
    </row>
    <row r="3" spans="1:3">
      <c r="A3" s="4"/>
      <c r="B3" s="5"/>
      <c r="C3" s="6"/>
    </row>
    <row r="4" spans="1:3">
      <c r="A4" s="4"/>
      <c r="B4" s="5"/>
      <c r="C4" s="6"/>
    </row>
    <row r="5" spans="1:3">
      <c r="A5" s="4"/>
      <c r="B5" s="5"/>
      <c r="C5" s="6"/>
    </row>
    <row r="6" spans="1:3">
      <c r="A6" s="4"/>
      <c r="B6" s="5"/>
      <c r="C6" s="6"/>
    </row>
    <row r="7" spans="1:3">
      <c r="A7" s="4"/>
      <c r="B7" s="5"/>
      <c r="C7" s="6"/>
    </row>
    <row r="8" spans="1:3">
      <c r="A8" s="4"/>
      <c r="B8" s="5"/>
      <c r="C8" s="6"/>
    </row>
    <row r="9" spans="1:3">
      <c r="A9" s="4"/>
      <c r="B9" s="5"/>
      <c r="C9" s="6"/>
    </row>
    <row r="10" spans="1:3">
      <c r="A10" s="4"/>
      <c r="B10" s="5"/>
      <c r="C10" s="6"/>
    </row>
    <row r="11" spans="1:3">
      <c r="A11" s="4"/>
      <c r="B11" s="5"/>
      <c r="C11" s="6"/>
    </row>
    <row r="12" spans="1:3">
      <c r="A12" s="4"/>
      <c r="B12" s="5"/>
      <c r="C12" s="6"/>
    </row>
    <row r="13" spans="1:3">
      <c r="A13" s="4"/>
      <c r="B13" s="5"/>
      <c r="C13" s="6"/>
    </row>
    <row r="14" spans="1:3">
      <c r="A14" s="4"/>
      <c r="B14" s="5"/>
      <c r="C14" s="6"/>
    </row>
    <row r="15" spans="1:3">
      <c r="A15" s="4"/>
      <c r="B15" s="5"/>
      <c r="C15" s="6"/>
    </row>
    <row r="16" spans="1:3">
      <c r="A16" s="4"/>
      <c r="B16" s="5"/>
      <c r="C16" s="6"/>
    </row>
    <row r="17" spans="1:3">
      <c r="A17" s="4"/>
      <c r="B17" s="5"/>
      <c r="C17" s="6"/>
    </row>
    <row r="18" spans="1:3">
      <c r="A18" s="7"/>
      <c r="B18" s="8"/>
      <c r="C18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C92BB-2D0F-B944-B7FD-4E9154683A76}">
  <dimension ref="A1:B8"/>
  <sheetViews>
    <sheetView tabSelected="1" workbookViewId="0">
      <selection activeCell="B12" sqref="B12"/>
    </sheetView>
  </sheetViews>
  <sheetFormatPr baseColWidth="10" defaultRowHeight="16"/>
  <cols>
    <col min="1" max="1" width="13" bestFit="1" customWidth="1"/>
    <col min="2" max="2" width="11.33203125" bestFit="1" customWidth="1"/>
  </cols>
  <sheetData>
    <row r="1" spans="1:2">
      <c r="A1" s="10" t="s">
        <v>13</v>
      </c>
      <c r="B1" t="s">
        <v>19</v>
      </c>
    </row>
    <row r="3" spans="1:2">
      <c r="A3" s="10" t="s">
        <v>17</v>
      </c>
      <c r="B3" t="s">
        <v>18</v>
      </c>
    </row>
    <row r="4" spans="1:2">
      <c r="A4" s="11" t="s">
        <v>5</v>
      </c>
      <c r="B4" s="12">
        <v>704200</v>
      </c>
    </row>
    <row r="5" spans="1:2">
      <c r="A5" s="11" t="s">
        <v>3</v>
      </c>
      <c r="B5" s="12">
        <v>2218231</v>
      </c>
    </row>
    <row r="6" spans="1:2">
      <c r="A6" s="11" t="s">
        <v>7</v>
      </c>
      <c r="B6" s="12">
        <v>492940</v>
      </c>
    </row>
    <row r="7" spans="1:2">
      <c r="A7" s="11" t="s">
        <v>11</v>
      </c>
      <c r="B7" s="12">
        <v>105630</v>
      </c>
    </row>
    <row r="8" spans="1:2">
      <c r="A8" s="11" t="s">
        <v>16</v>
      </c>
      <c r="B8" s="12">
        <v>3521001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Table-Bar</vt:lpstr>
      <vt:lpstr>Sheet3</vt:lpstr>
      <vt:lpstr>Pie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Bloomsburgh</dc:creator>
  <cp:lastModifiedBy>Peter Bloomsburgh</cp:lastModifiedBy>
  <dcterms:created xsi:type="dcterms:W3CDTF">2019-06-07T13:32:42Z</dcterms:created>
  <dcterms:modified xsi:type="dcterms:W3CDTF">2019-06-08T16:46:59Z</dcterms:modified>
</cp:coreProperties>
</file>